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1420888E-CB99-4796-892E-9E12E5854C2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Deuda de la TC" sheetId="3" r:id="rId2"/>
  </sheets>
  <calcPr calcId="191029"/>
</workbook>
</file>

<file path=xl/calcChain.xml><?xml version="1.0" encoding="utf-8"?>
<calcChain xmlns="http://schemas.openxmlformats.org/spreadsheetml/2006/main">
  <c r="G11" i="3" l="1"/>
  <c r="E11" i="3"/>
  <c r="C22" i="1"/>
  <c r="C24" i="1" l="1"/>
</calcChain>
</file>

<file path=xl/sharedStrings.xml><?xml version="1.0" encoding="utf-8"?>
<sst xmlns="http://schemas.openxmlformats.org/spreadsheetml/2006/main" count="17" uniqueCount="16">
  <si>
    <t>Fecha</t>
  </si>
  <si>
    <t>Valor</t>
  </si>
  <si>
    <t>Diferencia</t>
  </si>
  <si>
    <t>Subtotal</t>
  </si>
  <si>
    <t>Deuda</t>
  </si>
  <si>
    <t>Cuotas</t>
  </si>
  <si>
    <t>Abono</t>
  </si>
  <si>
    <t>Año</t>
  </si>
  <si>
    <t>mes</t>
  </si>
  <si>
    <t>Fecha de pago</t>
  </si>
  <si>
    <t>#</t>
  </si>
  <si>
    <t>Monto</t>
  </si>
  <si>
    <t>Total abonado</t>
  </si>
  <si>
    <t>Total de la deuda</t>
  </si>
  <si>
    <t>TC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</si>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</sst>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#.##0"/>
    <numFmt numFmtId="166" formatCode="0.000"/>
    <numFmt numFmtId="167" formatCode="_-&quot;$&quot;* #,##0_-;\-&quot;$&quot;* #,##0_-;_-&quot;$&quot;* &quot;-&quot;??_-;_-@_-"/>
    <numFmt numFmtId="168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0" fillId="3" borderId="1" xfId="0" applyFill="1" applyBorder="1"/>
    <xf numFmtId="14" fontId="0" fillId="3" borderId="1" xfId="0" applyNumberFormat="1" applyFill="1" applyBorder="1"/>
    <xf numFmtId="0" fontId="1" fillId="2" borderId="1" xfId="0" applyFont="1" applyFill="1" applyBorder="1"/>
    <xf numFmtId="166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7" fontId="3" fillId="0" borderId="1" xfId="1" applyNumberFormat="1" applyFont="1" applyFill="1" applyBorder="1"/>
    <xf numFmtId="0" fontId="1" fillId="4" borderId="1" xfId="0" applyFont="1" applyFill="1" applyBorder="1" applyAlignment="1">
      <alignment horizontal="center"/>
    </xf>
    <xf numFmtId="0" fontId="0" fillId="2" borderId="0" xfId="0" applyFill="1"/>
    <xf numFmtId="168" fontId="0" fillId="2" borderId="0" xfId="0" applyNumberFormat="1" applyFill="1"/>
    <xf numFmtId="168" fontId="0" fillId="0" borderId="0" xfId="0" applyNumberFormat="1"/>
    <xf numFmtId="168" fontId="5" fillId="0" borderId="0" xfId="0" applyNumberFormat="1" applyFont="1"/>
    <xf numFmtId="168" fontId="0" fillId="5" borderId="0" xfId="0" applyNumberFormat="1" applyFill="1"/>
    <xf numFmtId="167" fontId="0" fillId="5" borderId="0" xfId="0" applyNumberFormat="1" applyFill="1"/>
    <xf numFmtId="168" fontId="5" fillId="2" borderId="0" xfId="0" applyNumberFormat="1" applyFont="1" applyFill="1"/>
    <xf numFmtId="14" fontId="0" fillId="2" borderId="2" xfId="0" applyNumberFormat="1" applyFill="1" applyBorder="1"/>
    <xf numFmtId="167" fontId="3" fillId="2" borderId="2" xfId="1" applyNumberFormat="1" applyFont="1" applyFill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4"/>
  <sheetViews>
    <sheetView topLeftCell="A16" workbookViewId="0">
      <selection activeCell="A22" sqref="A22"/>
    </sheetView>
  </sheetViews>
  <sheetFormatPr defaultColWidth="9.140625" defaultRowHeight="15" x14ac:dyDescent="0.25"/>
  <cols>
    <col min="2" max="2" width="16" customWidth="1"/>
    <col min="3" max="3" width="19.140625" customWidth="1"/>
  </cols>
  <sheetData>
    <row r="2" spans="1:3" x14ac:dyDescent="0.25">
      <c r="B2" s="1" t="s">
        <v>0</v>
      </c>
      <c r="C2" s="1" t="s">
        <v>1</v>
      </c>
    </row>
    <row r="3" spans="1:3" x14ac:dyDescent="0.25">
      <c r="A3">
        <v>1</v>
      </c>
      <c r="B3" s="5">
        <v>41546</v>
      </c>
      <c r="C3" s="3">
        <v>800000</v>
      </c>
    </row>
    <row r="4" spans="1:3" x14ac:dyDescent="0.25">
      <c r="A4">
        <v>2</v>
      </c>
      <c r="B4" s="5">
        <v>41572</v>
      </c>
      <c r="C4" s="3">
        <v>800000</v>
      </c>
    </row>
    <row r="5" spans="1:3" x14ac:dyDescent="0.25">
      <c r="A5">
        <v>3</v>
      </c>
      <c r="B5" s="5">
        <v>41603</v>
      </c>
      <c r="C5" s="3">
        <v>800000</v>
      </c>
    </row>
    <row r="6" spans="1:3" x14ac:dyDescent="0.25">
      <c r="A6">
        <v>4</v>
      </c>
      <c r="B6" s="5">
        <v>41631</v>
      </c>
      <c r="C6" s="3">
        <v>1000000</v>
      </c>
    </row>
    <row r="7" spans="1:3" x14ac:dyDescent="0.25">
      <c r="A7">
        <v>5</v>
      </c>
      <c r="B7" s="5">
        <v>41662</v>
      </c>
      <c r="C7" s="3">
        <v>800000</v>
      </c>
    </row>
    <row r="8" spans="1:3" x14ac:dyDescent="0.25">
      <c r="A8">
        <v>6</v>
      </c>
      <c r="B8" s="5">
        <v>41696</v>
      </c>
      <c r="C8" s="3">
        <v>800000</v>
      </c>
    </row>
    <row r="9" spans="1:3" x14ac:dyDescent="0.25">
      <c r="A9">
        <v>7</v>
      </c>
      <c r="B9" s="5">
        <v>41729</v>
      </c>
      <c r="C9" s="3">
        <v>800000</v>
      </c>
    </row>
    <row r="10" spans="1:3" x14ac:dyDescent="0.25">
      <c r="A10">
        <v>8</v>
      </c>
      <c r="B10" s="5">
        <v>41754</v>
      </c>
      <c r="C10" s="3">
        <v>800000</v>
      </c>
    </row>
    <row r="11" spans="1:3" x14ac:dyDescent="0.25">
      <c r="A11">
        <v>9</v>
      </c>
      <c r="B11" s="5">
        <v>41785</v>
      </c>
      <c r="C11" s="3">
        <v>800000</v>
      </c>
    </row>
    <row r="12" spans="1:3" x14ac:dyDescent="0.25">
      <c r="A12">
        <v>10</v>
      </c>
      <c r="B12" s="5">
        <v>41815</v>
      </c>
      <c r="C12" s="3">
        <v>800000</v>
      </c>
    </row>
    <row r="13" spans="1:3" x14ac:dyDescent="0.25">
      <c r="A13">
        <v>11</v>
      </c>
      <c r="B13" s="5">
        <v>41848</v>
      </c>
      <c r="C13" s="3">
        <v>800000</v>
      </c>
    </row>
    <row r="14" spans="1:3" x14ac:dyDescent="0.25">
      <c r="A14">
        <v>12</v>
      </c>
      <c r="B14" s="5">
        <v>41877</v>
      </c>
      <c r="C14" s="3">
        <v>800000</v>
      </c>
    </row>
    <row r="15" spans="1:3" x14ac:dyDescent="0.25">
      <c r="A15">
        <v>13</v>
      </c>
      <c r="B15" s="5">
        <v>41907</v>
      </c>
      <c r="C15" s="3">
        <v>800000</v>
      </c>
    </row>
    <row r="16" spans="1:3" x14ac:dyDescent="0.25">
      <c r="A16">
        <v>14</v>
      </c>
      <c r="B16" s="5">
        <v>41936</v>
      </c>
      <c r="C16" s="3">
        <v>800000</v>
      </c>
    </row>
    <row r="17" spans="1:3" x14ac:dyDescent="0.25">
      <c r="A17">
        <v>15</v>
      </c>
      <c r="B17" s="5">
        <v>41969</v>
      </c>
      <c r="C17" s="3">
        <v>800000</v>
      </c>
    </row>
    <row r="18" spans="1:3" x14ac:dyDescent="0.25">
      <c r="A18">
        <v>16</v>
      </c>
      <c r="B18" s="5">
        <v>41995</v>
      </c>
      <c r="C18" s="3">
        <v>800000</v>
      </c>
    </row>
    <row r="19" spans="1:3" x14ac:dyDescent="0.25">
      <c r="A19">
        <v>17</v>
      </c>
      <c r="B19" s="5">
        <v>42030</v>
      </c>
      <c r="C19" s="3">
        <v>800000</v>
      </c>
    </row>
    <row r="20" spans="1:3" x14ac:dyDescent="0.25">
      <c r="A20">
        <v>18</v>
      </c>
      <c r="B20" s="5">
        <v>42061</v>
      </c>
      <c r="C20" s="3">
        <v>800000</v>
      </c>
    </row>
    <row r="21" spans="1:3" x14ac:dyDescent="0.25">
      <c r="A21">
        <v>19</v>
      </c>
      <c r="B21" s="5">
        <v>42061</v>
      </c>
      <c r="C21" s="4">
        <v>400000</v>
      </c>
    </row>
    <row r="22" spans="1:3" x14ac:dyDescent="0.25">
      <c r="B22" s="6" t="s">
        <v>3</v>
      </c>
      <c r="C22" s="3">
        <f>SUM(C3:C21)</f>
        <v>15000000</v>
      </c>
    </row>
    <row r="23" spans="1:3" x14ac:dyDescent="0.25">
      <c r="B23" s="6" t="s">
        <v>4</v>
      </c>
      <c r="C23" s="2">
        <v>15000000</v>
      </c>
    </row>
    <row r="24" spans="1:3" x14ac:dyDescent="0.25">
      <c r="B24" s="6" t="s">
        <v>2</v>
      </c>
      <c r="C24" s="7">
        <f>C23-C22</f>
        <v>0</v>
      </c>
    </row>
  </sheetData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workbookViewId="0">
      <selection activeCell="H2" sqref="H2"/>
    </sheetView>
  </sheetViews>
  <sheetFormatPr defaultColWidth="9.140625" defaultRowHeight="15" x14ac:dyDescent="0.25"/>
  <cols>
    <col min="4" max="4" width="20.28515625" customWidth="1"/>
    <col min="5" max="5" width="24" customWidth="1"/>
    <col min="7" max="7" width="12.5703125" customWidth="1"/>
    <col min="8" max="8" width="10.7109375" bestFit="1" customWidth="1"/>
    <col min="10" max="10" width="27.28515625" customWidth="1"/>
  </cols>
  <sheetData>
    <row r="1" spans="1:10" x14ac:dyDescent="0.25">
      <c r="A1" s="8"/>
      <c r="B1" s="8" t="s">
        <v>5</v>
      </c>
      <c r="C1" s="8"/>
      <c r="D1" s="12" t="s">
        <v>11</v>
      </c>
      <c r="E1" s="13">
        <v>1041900</v>
      </c>
      <c r="F1" t="s">
        <v>14</v>
      </c>
      <c r="G1" s="16">
        <v>1041900</v>
      </c>
      <c r="H1" s="21">
        <v>45763</v>
      </c>
    </row>
    <row r="2" spans="1:10" x14ac:dyDescent="0.25">
      <c r="A2" s="11" t="s">
        <v>10</v>
      </c>
      <c r="B2" s="11" t="s">
        <v>7</v>
      </c>
      <c r="C2" s="11" t="s">
        <v>8</v>
      </c>
      <c r="D2" s="11" t="s">
        <v>9</v>
      </c>
      <c r="E2" s="11" t="s">
        <v>6</v>
      </c>
    </row>
    <row r="3" spans="1:10" x14ac:dyDescent="0.25">
      <c r="A3" s="8">
        <v>1</v>
      </c>
      <c r="B3" s="8"/>
      <c r="C3" s="8"/>
      <c r="D3" s="9"/>
      <c r="E3" s="10"/>
    </row>
    <row r="4" spans="1:10" x14ac:dyDescent="0.25">
      <c r="A4" s="8">
        <v>2</v>
      </c>
      <c r="B4" s="8"/>
      <c r="C4" s="8"/>
      <c r="D4" s="9"/>
      <c r="E4" s="10"/>
    </row>
    <row r="5" spans="1:10" x14ac:dyDescent="0.25">
      <c r="A5" s="8">
        <v>3</v>
      </c>
      <c r="B5" s="8"/>
      <c r="C5" s="8"/>
      <c r="D5" s="9"/>
      <c r="E5" s="10"/>
    </row>
    <row r="6" spans="1:10" x14ac:dyDescent="0.25">
      <c r="A6" s="8">
        <v>4</v>
      </c>
      <c r="B6" s="8"/>
      <c r="C6" s="8"/>
      <c r="D6" s="9"/>
      <c r="E6" s="10"/>
    </row>
    <row r="7" spans="1:10" x14ac:dyDescent="0.25">
      <c r="A7" s="8">
        <v>5</v>
      </c>
      <c r="B7" s="8"/>
      <c r="C7" s="8"/>
      <c r="D7" s="9"/>
      <c r="E7" s="10"/>
    </row>
    <row r="8" spans="1:10" x14ac:dyDescent="0.25">
      <c r="A8" s="8"/>
      <c r="B8" s="8"/>
      <c r="C8" s="8"/>
      <c r="D8" s="19"/>
      <c r="E8" s="20"/>
    </row>
    <row r="9" spans="1:10" x14ac:dyDescent="0.25">
      <c r="A9" s="8"/>
      <c r="B9" s="8"/>
      <c r="C9" s="8"/>
      <c r="D9" s="9"/>
      <c r="E9" s="10"/>
      <c r="J9" s="15"/>
    </row>
    <row r="10" spans="1:10" x14ac:dyDescent="0.25">
      <c r="A10" s="8">
        <v>8</v>
      </c>
      <c r="B10" s="8"/>
      <c r="C10" s="8"/>
      <c r="D10" s="9"/>
      <c r="E10" s="10"/>
    </row>
    <row r="11" spans="1:10" x14ac:dyDescent="0.25">
      <c r="D11" t="s">
        <v>12</v>
      </c>
      <c r="E11" s="17">
        <f>SUM(E3:E10)</f>
        <v>0</v>
      </c>
      <c r="F11" t="s">
        <v>15</v>
      </c>
      <c r="G11" s="18">
        <f>E1-E11</f>
        <v>1041900</v>
      </c>
      <c r="J11" s="14"/>
    </row>
    <row r="12" spans="1:10" x14ac:dyDescent="0.25">
      <c r="D12" t="s">
        <v>13</v>
      </c>
      <c r="J12" s="14"/>
    </row>
    <row r="13" spans="1:10" x14ac:dyDescent="0.25">
      <c r="D13" t="s">
        <v>2</v>
      </c>
      <c r="J13" s="14"/>
    </row>
    <row r="14" spans="1:10" x14ac:dyDescent="0.25">
      <c r="J14" s="14"/>
    </row>
    <row r="15" spans="1:10" x14ac:dyDescent="0.25">
      <c r="G15" s="14"/>
    </row>
    <row r="17" spans="10:10" x14ac:dyDescent="0.25">
      <c r="J17" s="14"/>
    </row>
    <row r="18" spans="10:10" x14ac:dyDescent="0.25">
      <c r="J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Deuda de la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2025-04-21T19:31:16Z</dcterms:modified>
</cp:coreProperties>
</file>